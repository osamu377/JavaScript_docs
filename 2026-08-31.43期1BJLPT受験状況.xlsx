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tudent1\Downloads\"/>
    </mc:Choice>
  </mc:AlternateContent>
  <xr:revisionPtr revIDLastSave="0" documentId="13_ncr:1_{1174CD42-6A75-45F3-902C-E30BE29AF0F3}" xr6:coauthVersionLast="47" xr6:coauthVersionMax="47" xr10:uidLastSave="{00000000-0000-0000-0000-000000000000}"/>
  <bookViews>
    <workbookView xWindow="-108" yWindow="-108" windowWidth="23256" windowHeight="12456" xr2:uid="{0C49D7BE-F1AD-4B2D-B731-4CD00A1F51B6}"/>
  </bookViews>
  <sheets>
    <sheet name="JLPT" sheetId="1" r:id="rId1"/>
  </sheets>
  <definedNames>
    <definedName name="_xlnm._FilterDatabase" localSheetId="0" hidden="1">JLPT!$A$1:$G$42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2" i="1" l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I42" i="1" s="1"/>
  <c r="H36" i="1"/>
  <c r="H42" i="1" s="1"/>
</calcChain>
</file>

<file path=xl/sharedStrings.xml><?xml version="1.0" encoding="utf-8"?>
<sst xmlns="http://schemas.openxmlformats.org/spreadsheetml/2006/main" count="274" uniqueCount="118">
  <si>
    <t>学年</t>
    <rPh sb="0" eb="2">
      <t>ガクネン</t>
    </rPh>
    <phoneticPr fontId="1"/>
  </si>
  <si>
    <t>クラス</t>
  </si>
  <si>
    <t>No.</t>
  </si>
  <si>
    <t>氏名</t>
    <rPh sb="0" eb="2">
      <t>シメイ</t>
    </rPh>
    <phoneticPr fontId="1"/>
  </si>
  <si>
    <t>ふりがな</t>
    <phoneticPr fontId="3"/>
  </si>
  <si>
    <t>留学生出身国</t>
    <rPh sb="0" eb="2">
      <t>リュウガク</t>
    </rPh>
    <rPh sb="2" eb="3">
      <t>セイ</t>
    </rPh>
    <rPh sb="3" eb="5">
      <t>シュッシン</t>
    </rPh>
    <rPh sb="5" eb="6">
      <t>コク</t>
    </rPh>
    <phoneticPr fontId="1"/>
  </si>
  <si>
    <t>学校名</t>
    <rPh sb="0" eb="2">
      <t>ガッコウ</t>
    </rPh>
    <rPh sb="2" eb="3">
      <t>メイ</t>
    </rPh>
    <phoneticPr fontId="1"/>
  </si>
  <si>
    <t>JLPT(入学前取得)</t>
    <rPh sb="5" eb="8">
      <t>ニュウガクマエ</t>
    </rPh>
    <rPh sb="8" eb="10">
      <t>シュトク</t>
    </rPh>
    <phoneticPr fontId="3"/>
  </si>
  <si>
    <t>7/5受験</t>
    <rPh sb="3" eb="5">
      <t>ジュケン</t>
    </rPh>
    <phoneticPr fontId="3"/>
  </si>
  <si>
    <t>合否</t>
    <rPh sb="0" eb="2">
      <t>ゴウヒ</t>
    </rPh>
    <phoneticPr fontId="3"/>
  </si>
  <si>
    <t>12/6受験</t>
    <rPh sb="4" eb="6">
      <t>ジュケン</t>
    </rPh>
    <phoneticPr fontId="3"/>
  </si>
  <si>
    <t>B</t>
  </si>
  <si>
    <t>ACHARYA BISHWAJIT</t>
  </si>
  <si>
    <t>びしゅわじっと</t>
  </si>
  <si>
    <t>ネパール</t>
  </si>
  <si>
    <t>永興日本語学園　飯能校</t>
    <phoneticPr fontId="3"/>
  </si>
  <si>
    <t>N2</t>
  </si>
  <si>
    <t>不合格</t>
  </si>
  <si>
    <t>AMIN MUHAMMAD</t>
  </si>
  <si>
    <t>あみん</t>
  </si>
  <si>
    <t>パキスタン</t>
  </si>
  <si>
    <t>山手日本語学校</t>
    <phoneticPr fontId="3"/>
  </si>
  <si>
    <t>N5</t>
    <phoneticPr fontId="3"/>
  </si>
  <si>
    <t>N1</t>
  </si>
  <si>
    <t>AUNG KO KO MYAT</t>
  </si>
  <si>
    <t>ここ</t>
  </si>
  <si>
    <t>ミャンマー</t>
  </si>
  <si>
    <t>平成国際教育学院</t>
    <phoneticPr fontId="3"/>
  </si>
  <si>
    <t>N3</t>
    <phoneticPr fontId="3"/>
  </si>
  <si>
    <t>未受験</t>
  </si>
  <si>
    <t>BHUJEL SABIN</t>
  </si>
  <si>
    <t>さびん</t>
  </si>
  <si>
    <t>SAI国際教育学院</t>
  </si>
  <si>
    <t>BUI BAO LOC</t>
  </si>
  <si>
    <t>ろっく</t>
  </si>
  <si>
    <t>ベトナム</t>
  </si>
  <si>
    <t>与野学院日本語学校</t>
    <phoneticPr fontId="3"/>
  </si>
  <si>
    <t>未受験</t>
    <rPh sb="0" eb="3">
      <t>ミジュケン</t>
    </rPh>
    <phoneticPr fontId="3"/>
  </si>
  <si>
    <t>CHU THI HA</t>
  </si>
  <si>
    <t>はー</t>
  </si>
  <si>
    <t>東京日語学院</t>
    <phoneticPr fontId="3"/>
  </si>
  <si>
    <t>N3</t>
  </si>
  <si>
    <t>DISSANAYAKA MUDIYANSELAGE CHALANI KAVINDYA BANDARA</t>
  </si>
  <si>
    <t>ちゃらに</t>
  </si>
  <si>
    <t>スリランカ</t>
  </si>
  <si>
    <t>N4</t>
    <phoneticPr fontId="3"/>
  </si>
  <si>
    <t>DO TRAN MINH HAI</t>
  </si>
  <si>
    <t>はい</t>
  </si>
  <si>
    <t>GULZAR NABEEL</t>
  </si>
  <si>
    <t>らな</t>
  </si>
  <si>
    <t>HASAN MD MEHEDI</t>
  </si>
  <si>
    <t>めへでぃ</t>
  </si>
  <si>
    <t>バングラデシュ</t>
  </si>
  <si>
    <t>相模国際学院</t>
    <phoneticPr fontId="3"/>
  </si>
  <si>
    <t>IJAZ ZAMAN</t>
  </si>
  <si>
    <t>ざまん</t>
  </si>
  <si>
    <t>東京平田日本語学院</t>
  </si>
  <si>
    <t>JAMBURATHUGODA GAMACHCHIGE AYESH DUSHMANTHA</t>
  </si>
  <si>
    <t>あいしゅ</t>
  </si>
  <si>
    <t>KADIGAMUWA THILINI NAYANIKA</t>
  </si>
  <si>
    <t>てぃりに</t>
  </si>
  <si>
    <t>華国際アカデミー</t>
    <phoneticPr fontId="3"/>
  </si>
  <si>
    <t>KASTHURI ARACHCHILAGE RASHMIKA DEVINDA CHANDRATHILAKA</t>
  </si>
  <si>
    <t>らしゅみか</t>
  </si>
  <si>
    <t>KHAN MD NAYMUL KABIR</t>
  </si>
  <si>
    <t>ないむる</t>
  </si>
  <si>
    <t>国書日本語学校</t>
    <phoneticPr fontId="3"/>
  </si>
  <si>
    <t>KODIKARAGE PAVITHRA PRASANNA</t>
  </si>
  <si>
    <t>ぱゔぃ</t>
  </si>
  <si>
    <t>MDI東京日本語学校</t>
    <phoneticPr fontId="3"/>
  </si>
  <si>
    <t>LE TRONG HUAN</t>
  </si>
  <si>
    <t>ふあん</t>
  </si>
  <si>
    <t>エリート日本語学校</t>
  </si>
  <si>
    <t>NGUYEN DANH THUAN</t>
  </si>
  <si>
    <t>とぅあん</t>
  </si>
  <si>
    <t>成幸日本語学校</t>
    <phoneticPr fontId="3"/>
  </si>
  <si>
    <t>NGUYEN DUC TOAN</t>
  </si>
  <si>
    <t>とあん</t>
  </si>
  <si>
    <t>NGUYEN VAN DAT</t>
  </si>
  <si>
    <t>だっと</t>
  </si>
  <si>
    <t>PHAN CONG NHAT KHANG</t>
  </si>
  <si>
    <t>かん</t>
  </si>
  <si>
    <t>浦和国際教育センター</t>
    <phoneticPr fontId="3"/>
  </si>
  <si>
    <t>PHUNG TRONG CAU</t>
  </si>
  <si>
    <t>かう</t>
  </si>
  <si>
    <t>N2</t>
    <phoneticPr fontId="3"/>
  </si>
  <si>
    <t>QUANG VAN BAO</t>
  </si>
  <si>
    <t>ばお</t>
  </si>
  <si>
    <t>RAJAPAKSHA HEWAYALAGE NAVODYA LAKMALI</t>
  </si>
  <si>
    <t>なゔぉでぃあ</t>
    <phoneticPr fontId="3"/>
  </si>
  <si>
    <t>RAUT RAVI BAHADUR</t>
  </si>
  <si>
    <t>らゔぃ</t>
  </si>
  <si>
    <t>浦和国際学院　埼玉校</t>
    <phoneticPr fontId="3"/>
  </si>
  <si>
    <t>ROY RATUL</t>
  </si>
  <si>
    <t>ろい</t>
  </si>
  <si>
    <t>SARKER SAYEM</t>
  </si>
  <si>
    <t>さえむ</t>
  </si>
  <si>
    <t>SAUNDA HANNADIGE NIMESH RASANJANA</t>
  </si>
  <si>
    <t>にめし</t>
  </si>
  <si>
    <t>TAYYAB ABDUL REHMAN</t>
  </si>
  <si>
    <t>れふまん</t>
  </si>
  <si>
    <t>UDUGAMAGAMAGE LASINDU NIRUKSHAN</t>
  </si>
  <si>
    <t>らしんどぅ</t>
  </si>
  <si>
    <t>早稲田EDU日本語学校</t>
  </si>
  <si>
    <t>合格</t>
    <phoneticPr fontId="3"/>
  </si>
  <si>
    <t>ULLHA AMAN</t>
  </si>
  <si>
    <t>あまん</t>
  </si>
  <si>
    <t>UTHURAWALAGE DILSHAN RAMESH UTHURAWALAGE</t>
  </si>
  <si>
    <t>らめしゅ</t>
  </si>
  <si>
    <t>WANASOORIYAGE ANJANA PIUMANTHA</t>
  </si>
  <si>
    <t>あんじゃな</t>
  </si>
  <si>
    <t>WILLADDARA GAMAGE DILAN MADUSHANKA</t>
  </si>
  <si>
    <t>まどぅしゃんか</t>
  </si>
  <si>
    <t>N1</t>
    <phoneticPr fontId="3"/>
  </si>
  <si>
    <t>JLPT</t>
    <phoneticPr fontId="3"/>
  </si>
  <si>
    <t>左列：すでに合格している</t>
    <rPh sb="0" eb="1">
      <t>ヒダリ</t>
    </rPh>
    <rPh sb="1" eb="2">
      <t>レツ</t>
    </rPh>
    <rPh sb="6" eb="8">
      <t>ゴウカク</t>
    </rPh>
    <phoneticPr fontId="3"/>
  </si>
  <si>
    <t>右列：7月に受験予定</t>
    <rPh sb="0" eb="2">
      <t>ミギレツ</t>
    </rPh>
    <rPh sb="4" eb="5">
      <t>ガツ</t>
    </rPh>
    <rPh sb="6" eb="10">
      <t>ジュケンヨテイ</t>
    </rPh>
    <phoneticPr fontId="3"/>
  </si>
  <si>
    <t>未回答</t>
    <rPh sb="0" eb="3">
      <t>ミカイトウ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</si>
</sst>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theme="1"/>
      <name val="UD デジタル 教科書体 NP"/>
      <family val="1"/>
      <charset val="128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3" borderId="1" xfId="0" quotePrefix="1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quotePrefix="1" applyFont="1" applyFill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5" borderId="1" xfId="0" applyFont="1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>
      <alignment vertical="center"/>
    </xf>
    <xf numFmtId="0" fontId="2" fillId="6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00C5-2FEC-438C-A0CD-E9CF7FA96ED7}">
  <sheetPr>
    <pageSetUpPr fitToPage="1"/>
  </sheetPr>
  <dimension ref="A1:K42"/>
  <sheetViews>
    <sheetView tabSelected="1" workbookViewId="0">
      <pane xSplit="4" ySplit="1" topLeftCell="E8" activePane="bottomRight" state="frozen"/>
      <selection pane="topRight" activeCell="H1" sqref="H1"/>
      <selection pane="bottomLeft" activeCell="A2" sqref="A2"/>
      <selection pane="bottomRight" activeCell="L12" sqref="L12"/>
    </sheetView>
  </sheetViews>
  <sheetFormatPr defaultColWidth="8.69921875" defaultRowHeight="14.4" x14ac:dyDescent="0.45"/>
  <cols>
    <col min="1" max="1" width="2.59765625" style="5" bestFit="1" customWidth="1"/>
    <col min="2" max="2" width="2.69921875" style="5" bestFit="1" customWidth="1"/>
    <col min="3" max="3" width="3.69921875" style="5" bestFit="1" customWidth="1"/>
    <col min="4" max="4" width="67.69921875" style="5" bestFit="1" customWidth="1"/>
    <col min="5" max="6" width="14.3984375" style="5" bestFit="1" customWidth="1"/>
    <col min="7" max="7" width="22.19921875" style="5" bestFit="1" customWidth="1"/>
    <col min="8" max="8" width="17" style="5" bestFit="1" customWidth="1"/>
    <col min="9" max="16384" width="8.69921875" style="5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</row>
    <row r="2" spans="1:11" x14ac:dyDescent="0.45">
      <c r="A2" s="6">
        <v>1</v>
      </c>
      <c r="B2" s="6" t="s">
        <v>11</v>
      </c>
      <c r="C2" s="6">
        <v>1</v>
      </c>
      <c r="D2" s="6" t="s">
        <v>12</v>
      </c>
      <c r="E2" s="6" t="s">
        <v>13</v>
      </c>
      <c r="F2" s="6" t="s">
        <v>14</v>
      </c>
      <c r="G2" s="6" t="s">
        <v>15</v>
      </c>
      <c r="H2" s="6"/>
      <c r="I2" s="6" t="s">
        <v>16</v>
      </c>
      <c r="J2" s="6" t="s">
        <v>17</v>
      </c>
      <c r="K2" s="6" t="s">
        <v>16</v>
      </c>
    </row>
    <row r="3" spans="1:11" x14ac:dyDescent="0.45">
      <c r="A3" s="6">
        <v>1</v>
      </c>
      <c r="B3" s="6" t="s">
        <v>11</v>
      </c>
      <c r="C3" s="6">
        <v>2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17</v>
      </c>
      <c r="K3" s="6" t="s">
        <v>16</v>
      </c>
    </row>
    <row r="4" spans="1:11" x14ac:dyDescent="0.45">
      <c r="A4" s="6">
        <v>1</v>
      </c>
      <c r="B4" s="6" t="s">
        <v>11</v>
      </c>
      <c r="C4" s="6">
        <v>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/>
      <c r="K4" s="6" t="s">
        <v>16</v>
      </c>
    </row>
    <row r="5" spans="1:11" x14ac:dyDescent="0.45">
      <c r="A5" s="6">
        <v>1</v>
      </c>
      <c r="B5" s="6" t="s">
        <v>11</v>
      </c>
      <c r="C5" s="6">
        <v>4</v>
      </c>
      <c r="D5" s="6" t="s">
        <v>30</v>
      </c>
      <c r="E5" s="6" t="s">
        <v>31</v>
      </c>
      <c r="F5" s="6" t="s">
        <v>14</v>
      </c>
      <c r="G5" s="6" t="s">
        <v>32</v>
      </c>
      <c r="H5" s="6" t="s">
        <v>28</v>
      </c>
      <c r="I5" s="6" t="s">
        <v>29</v>
      </c>
      <c r="J5" s="6"/>
      <c r="K5" s="6" t="s">
        <v>16</v>
      </c>
    </row>
    <row r="6" spans="1:11" x14ac:dyDescent="0.45">
      <c r="A6" s="6">
        <v>1</v>
      </c>
      <c r="B6" s="6" t="s">
        <v>11</v>
      </c>
      <c r="C6" s="6">
        <v>5</v>
      </c>
      <c r="D6" s="6" t="s">
        <v>33</v>
      </c>
      <c r="E6" s="6" t="s">
        <v>34</v>
      </c>
      <c r="F6" s="6" t="s">
        <v>35</v>
      </c>
      <c r="G6" s="6" t="s">
        <v>36</v>
      </c>
      <c r="H6" s="6" t="s">
        <v>37</v>
      </c>
      <c r="I6" s="6"/>
      <c r="J6" s="6"/>
      <c r="K6" s="6"/>
    </row>
    <row r="7" spans="1:11" x14ac:dyDescent="0.45">
      <c r="A7" s="6">
        <v>1</v>
      </c>
      <c r="B7" s="6" t="s">
        <v>11</v>
      </c>
      <c r="C7" s="6">
        <v>6</v>
      </c>
      <c r="D7" s="6" t="s">
        <v>38</v>
      </c>
      <c r="E7" s="6" t="s">
        <v>39</v>
      </c>
      <c r="F7" s="6" t="s">
        <v>35</v>
      </c>
      <c r="G7" s="6" t="s">
        <v>40</v>
      </c>
      <c r="H7" s="6" t="s">
        <v>37</v>
      </c>
      <c r="I7" s="6" t="s">
        <v>41</v>
      </c>
      <c r="J7" s="6" t="s">
        <v>17</v>
      </c>
      <c r="K7" s="6" t="s">
        <v>41</v>
      </c>
    </row>
    <row r="8" spans="1:11" x14ac:dyDescent="0.45">
      <c r="A8" s="6">
        <v>1</v>
      </c>
      <c r="B8" s="6" t="s">
        <v>11</v>
      </c>
      <c r="C8" s="6">
        <v>7</v>
      </c>
      <c r="D8" s="6" t="s">
        <v>42</v>
      </c>
      <c r="E8" s="6" t="s">
        <v>43</v>
      </c>
      <c r="F8" s="6" t="s">
        <v>44</v>
      </c>
      <c r="G8" s="6" t="s">
        <v>15</v>
      </c>
      <c r="H8" s="6" t="s">
        <v>45</v>
      </c>
      <c r="I8" s="6"/>
      <c r="J8" s="6"/>
      <c r="K8" s="6"/>
    </row>
    <row r="9" spans="1:11" x14ac:dyDescent="0.45">
      <c r="A9" s="10">
        <v>1</v>
      </c>
      <c r="B9" s="10" t="s">
        <v>11</v>
      </c>
      <c r="C9" s="10">
        <v>8</v>
      </c>
      <c r="D9" s="10" t="s">
        <v>46</v>
      </c>
      <c r="E9" s="10" t="s">
        <v>47</v>
      </c>
      <c r="F9" s="10" t="s">
        <v>35</v>
      </c>
      <c r="G9" s="10" t="s">
        <v>40</v>
      </c>
      <c r="H9" s="10"/>
      <c r="I9" s="10"/>
      <c r="J9" s="10"/>
      <c r="K9" s="10"/>
    </row>
    <row r="10" spans="1:11" x14ac:dyDescent="0.45">
      <c r="A10" s="6">
        <v>1</v>
      </c>
      <c r="B10" s="6" t="s">
        <v>11</v>
      </c>
      <c r="C10" s="6">
        <v>9</v>
      </c>
      <c r="D10" s="6" t="s">
        <v>48</v>
      </c>
      <c r="E10" s="6" t="s">
        <v>49</v>
      </c>
      <c r="F10" s="6" t="s">
        <v>20</v>
      </c>
      <c r="G10" s="6" t="s">
        <v>21</v>
      </c>
      <c r="H10" s="6"/>
      <c r="I10" s="6"/>
      <c r="J10" s="6"/>
      <c r="K10" s="6"/>
    </row>
    <row r="11" spans="1:11" x14ac:dyDescent="0.45">
      <c r="A11" s="6">
        <v>1</v>
      </c>
      <c r="B11" s="6" t="s">
        <v>11</v>
      </c>
      <c r="C11" s="6">
        <v>10</v>
      </c>
      <c r="D11" s="6" t="s">
        <v>50</v>
      </c>
      <c r="E11" s="6" t="s">
        <v>51</v>
      </c>
      <c r="F11" s="6" t="s">
        <v>52</v>
      </c>
      <c r="G11" s="6" t="s">
        <v>53</v>
      </c>
      <c r="H11" s="6" t="s">
        <v>22</v>
      </c>
      <c r="I11" s="6" t="s">
        <v>16</v>
      </c>
      <c r="J11" s="6" t="s">
        <v>17</v>
      </c>
      <c r="K11" s="6" t="s">
        <v>29</v>
      </c>
    </row>
    <row r="12" spans="1:11" x14ac:dyDescent="0.45">
      <c r="A12" s="6">
        <v>1</v>
      </c>
      <c r="B12" s="6" t="s">
        <v>11</v>
      </c>
      <c r="C12" s="6">
        <v>11</v>
      </c>
      <c r="D12" s="6" t="s">
        <v>54</v>
      </c>
      <c r="E12" s="6" t="s">
        <v>55</v>
      </c>
      <c r="F12" s="6" t="s">
        <v>20</v>
      </c>
      <c r="G12" s="6" t="s">
        <v>56</v>
      </c>
      <c r="H12" s="6" t="s">
        <v>45</v>
      </c>
      <c r="I12" s="6" t="s">
        <v>29</v>
      </c>
      <c r="J12" s="6"/>
      <c r="K12" s="6" t="s">
        <v>41</v>
      </c>
    </row>
    <row r="13" spans="1:11" x14ac:dyDescent="0.45">
      <c r="A13" s="6">
        <v>1</v>
      </c>
      <c r="B13" s="6" t="s">
        <v>11</v>
      </c>
      <c r="C13" s="6">
        <v>12</v>
      </c>
      <c r="D13" s="6" t="s">
        <v>57</v>
      </c>
      <c r="E13" s="6" t="s">
        <v>58</v>
      </c>
      <c r="F13" s="6" t="s">
        <v>44</v>
      </c>
      <c r="G13" s="6" t="s">
        <v>15</v>
      </c>
      <c r="H13" s="6"/>
      <c r="I13" s="6" t="s">
        <v>29</v>
      </c>
      <c r="J13" s="6"/>
      <c r="K13" s="6" t="s">
        <v>16</v>
      </c>
    </row>
    <row r="14" spans="1:11" x14ac:dyDescent="0.45">
      <c r="A14" s="6">
        <v>1</v>
      </c>
      <c r="B14" s="6" t="s">
        <v>11</v>
      </c>
      <c r="C14" s="6">
        <v>13</v>
      </c>
      <c r="D14" s="6" t="s">
        <v>59</v>
      </c>
      <c r="E14" s="6" t="s">
        <v>60</v>
      </c>
      <c r="F14" s="6" t="s">
        <v>44</v>
      </c>
      <c r="G14" s="6" t="s">
        <v>61</v>
      </c>
      <c r="H14" s="6" t="s">
        <v>45</v>
      </c>
      <c r="I14" s="6" t="s">
        <v>29</v>
      </c>
      <c r="J14" s="6"/>
      <c r="K14" s="6" t="s">
        <v>16</v>
      </c>
    </row>
    <row r="15" spans="1:11" x14ac:dyDescent="0.45">
      <c r="A15" s="6">
        <v>1</v>
      </c>
      <c r="B15" s="6" t="s">
        <v>11</v>
      </c>
      <c r="C15" s="6">
        <v>14</v>
      </c>
      <c r="D15" s="6" t="s">
        <v>62</v>
      </c>
      <c r="E15" s="6" t="s">
        <v>63</v>
      </c>
      <c r="F15" s="6" t="s">
        <v>44</v>
      </c>
      <c r="G15" s="6" t="s">
        <v>15</v>
      </c>
      <c r="H15" s="6" t="s">
        <v>45</v>
      </c>
      <c r="I15" s="6"/>
      <c r="J15" s="6"/>
      <c r="K15" s="6"/>
    </row>
    <row r="16" spans="1:11" x14ac:dyDescent="0.45">
      <c r="A16" s="6">
        <v>1</v>
      </c>
      <c r="B16" s="6" t="s">
        <v>11</v>
      </c>
      <c r="C16" s="6">
        <v>15</v>
      </c>
      <c r="D16" s="6" t="s">
        <v>64</v>
      </c>
      <c r="E16" s="6" t="s">
        <v>65</v>
      </c>
      <c r="F16" s="6" t="s">
        <v>52</v>
      </c>
      <c r="G16" s="6" t="s">
        <v>66</v>
      </c>
      <c r="H16" s="6" t="s">
        <v>45</v>
      </c>
      <c r="I16" s="6" t="s">
        <v>29</v>
      </c>
      <c r="J16" s="6"/>
      <c r="K16" s="6" t="s">
        <v>16</v>
      </c>
    </row>
    <row r="17" spans="1:11" x14ac:dyDescent="0.45">
      <c r="A17" s="6">
        <v>1</v>
      </c>
      <c r="B17" s="6" t="s">
        <v>11</v>
      </c>
      <c r="C17" s="6">
        <v>16</v>
      </c>
      <c r="D17" s="6" t="s">
        <v>67</v>
      </c>
      <c r="E17" s="6" t="s">
        <v>68</v>
      </c>
      <c r="F17" s="6" t="s">
        <v>44</v>
      </c>
      <c r="G17" s="6" t="s">
        <v>69</v>
      </c>
      <c r="H17" s="6" t="s">
        <v>22</v>
      </c>
      <c r="I17" s="6" t="s">
        <v>29</v>
      </c>
      <c r="J17" s="6"/>
      <c r="K17" s="6" t="s">
        <v>41</v>
      </c>
    </row>
    <row r="18" spans="1:11" x14ac:dyDescent="0.45">
      <c r="A18" s="10">
        <v>1</v>
      </c>
      <c r="B18" s="10" t="s">
        <v>11</v>
      </c>
      <c r="C18" s="10">
        <v>17</v>
      </c>
      <c r="D18" s="10" t="s">
        <v>70</v>
      </c>
      <c r="E18" s="10" t="s">
        <v>71</v>
      </c>
      <c r="F18" s="10" t="s">
        <v>35</v>
      </c>
      <c r="G18" s="10" t="s">
        <v>72</v>
      </c>
      <c r="H18" s="10" t="s">
        <v>28</v>
      </c>
      <c r="I18" s="10"/>
      <c r="J18" s="10"/>
      <c r="K18" s="10"/>
    </row>
    <row r="19" spans="1:11" x14ac:dyDescent="0.45">
      <c r="A19" s="6">
        <v>1</v>
      </c>
      <c r="B19" s="6" t="s">
        <v>11</v>
      </c>
      <c r="C19" s="6">
        <v>18</v>
      </c>
      <c r="D19" s="6" t="s">
        <v>73</v>
      </c>
      <c r="E19" s="6" t="s">
        <v>74</v>
      </c>
      <c r="F19" s="6" t="s">
        <v>35</v>
      </c>
      <c r="G19" s="6" t="s">
        <v>75</v>
      </c>
      <c r="H19" s="6" t="s">
        <v>45</v>
      </c>
      <c r="I19" s="6" t="s">
        <v>29</v>
      </c>
      <c r="J19" s="6"/>
      <c r="K19" s="6" t="s">
        <v>29</v>
      </c>
    </row>
    <row r="20" spans="1:11" x14ac:dyDescent="0.45">
      <c r="A20" s="6">
        <v>1</v>
      </c>
      <c r="B20" s="6" t="s">
        <v>11</v>
      </c>
      <c r="C20" s="6">
        <v>19</v>
      </c>
      <c r="D20" s="6" t="s">
        <v>76</v>
      </c>
      <c r="E20" s="6" t="s">
        <v>77</v>
      </c>
      <c r="F20" s="6" t="s">
        <v>35</v>
      </c>
      <c r="G20" s="6" t="s">
        <v>40</v>
      </c>
      <c r="H20" s="6" t="s">
        <v>28</v>
      </c>
      <c r="I20" s="6"/>
      <c r="J20" s="6"/>
      <c r="K20" s="6"/>
    </row>
    <row r="21" spans="1:11" x14ac:dyDescent="0.45">
      <c r="A21" s="6">
        <v>1</v>
      </c>
      <c r="B21" s="6" t="s">
        <v>11</v>
      </c>
      <c r="C21" s="6">
        <v>20</v>
      </c>
      <c r="D21" s="6" t="s">
        <v>78</v>
      </c>
      <c r="E21" s="6" t="s">
        <v>79</v>
      </c>
      <c r="F21" s="6" t="s">
        <v>35</v>
      </c>
      <c r="G21" s="6" t="s">
        <v>40</v>
      </c>
      <c r="H21" s="6" t="s">
        <v>37</v>
      </c>
      <c r="I21" s="6"/>
      <c r="J21" s="6"/>
      <c r="K21" s="6"/>
    </row>
    <row r="22" spans="1:11" x14ac:dyDescent="0.45">
      <c r="A22" s="10">
        <v>1</v>
      </c>
      <c r="B22" s="10" t="s">
        <v>11</v>
      </c>
      <c r="C22" s="10">
        <v>21</v>
      </c>
      <c r="D22" s="10" t="s">
        <v>80</v>
      </c>
      <c r="E22" s="10" t="s">
        <v>81</v>
      </c>
      <c r="F22" s="10" t="s">
        <v>35</v>
      </c>
      <c r="G22" s="10" t="s">
        <v>82</v>
      </c>
      <c r="H22" s="10" t="s">
        <v>37</v>
      </c>
      <c r="I22" s="10"/>
      <c r="J22" s="10"/>
      <c r="K22" s="10"/>
    </row>
    <row r="23" spans="1:11" x14ac:dyDescent="0.45">
      <c r="A23" s="6">
        <v>1</v>
      </c>
      <c r="B23" s="6" t="s">
        <v>11</v>
      </c>
      <c r="C23" s="6">
        <v>22</v>
      </c>
      <c r="D23" s="6" t="s">
        <v>83</v>
      </c>
      <c r="E23" s="6" t="s">
        <v>84</v>
      </c>
      <c r="F23" s="6" t="s">
        <v>35</v>
      </c>
      <c r="G23" s="6" t="s">
        <v>40</v>
      </c>
      <c r="H23" s="6" t="s">
        <v>85</v>
      </c>
      <c r="I23" s="6"/>
      <c r="J23" s="6"/>
      <c r="K23" s="6"/>
    </row>
    <row r="24" spans="1:11" x14ac:dyDescent="0.45">
      <c r="A24" s="6">
        <v>1</v>
      </c>
      <c r="B24" s="6" t="s">
        <v>11</v>
      </c>
      <c r="C24" s="6">
        <v>23</v>
      </c>
      <c r="D24" s="6" t="s">
        <v>86</v>
      </c>
      <c r="E24" s="6" t="s">
        <v>87</v>
      </c>
      <c r="F24" s="6" t="s">
        <v>35</v>
      </c>
      <c r="G24" s="6" t="s">
        <v>69</v>
      </c>
      <c r="H24" s="6" t="s">
        <v>22</v>
      </c>
      <c r="I24" s="6"/>
      <c r="J24" s="6"/>
      <c r="K24" s="6"/>
    </row>
    <row r="25" spans="1:11" x14ac:dyDescent="0.45">
      <c r="A25" s="6">
        <v>1</v>
      </c>
      <c r="B25" s="6" t="s">
        <v>11</v>
      </c>
      <c r="C25" s="6">
        <v>24</v>
      </c>
      <c r="D25" s="6" t="s">
        <v>88</v>
      </c>
      <c r="E25" s="6" t="s">
        <v>89</v>
      </c>
      <c r="F25" s="6" t="s">
        <v>44</v>
      </c>
      <c r="G25" s="6" t="s">
        <v>69</v>
      </c>
      <c r="H25" s="6" t="s">
        <v>45</v>
      </c>
      <c r="I25" s="6" t="s">
        <v>29</v>
      </c>
      <c r="J25" s="6"/>
      <c r="K25" s="6" t="s">
        <v>41</v>
      </c>
    </row>
    <row r="26" spans="1:11" x14ac:dyDescent="0.45">
      <c r="A26" s="6">
        <v>1</v>
      </c>
      <c r="B26" s="6" t="s">
        <v>11</v>
      </c>
      <c r="C26" s="6">
        <v>25</v>
      </c>
      <c r="D26" s="6" t="s">
        <v>90</v>
      </c>
      <c r="E26" s="6" t="s">
        <v>91</v>
      </c>
      <c r="F26" s="6" t="s">
        <v>14</v>
      </c>
      <c r="G26" s="6" t="s">
        <v>92</v>
      </c>
      <c r="H26" s="6" t="s">
        <v>37</v>
      </c>
      <c r="I26" s="6" t="s">
        <v>29</v>
      </c>
      <c r="J26" s="6"/>
      <c r="K26" s="6" t="s">
        <v>16</v>
      </c>
    </row>
    <row r="27" spans="1:11" x14ac:dyDescent="0.45">
      <c r="A27" s="6">
        <v>1</v>
      </c>
      <c r="B27" s="6" t="s">
        <v>11</v>
      </c>
      <c r="C27" s="6">
        <v>26</v>
      </c>
      <c r="D27" s="6" t="s">
        <v>93</v>
      </c>
      <c r="E27" s="6" t="s">
        <v>94</v>
      </c>
      <c r="F27" s="6" t="s">
        <v>52</v>
      </c>
      <c r="G27" s="6" t="s">
        <v>40</v>
      </c>
      <c r="H27" s="6" t="s">
        <v>37</v>
      </c>
      <c r="I27" s="6" t="s">
        <v>29</v>
      </c>
      <c r="J27" s="6"/>
      <c r="K27" s="6" t="s">
        <v>16</v>
      </c>
    </row>
    <row r="28" spans="1:11" x14ac:dyDescent="0.45">
      <c r="A28" s="6">
        <v>1</v>
      </c>
      <c r="B28" s="6" t="s">
        <v>11</v>
      </c>
      <c r="C28" s="6">
        <v>27</v>
      </c>
      <c r="D28" s="6" t="s">
        <v>95</v>
      </c>
      <c r="E28" s="6" t="s">
        <v>96</v>
      </c>
      <c r="F28" s="6" t="s">
        <v>52</v>
      </c>
      <c r="G28" s="6" t="s">
        <v>66</v>
      </c>
      <c r="H28" s="6" t="s">
        <v>22</v>
      </c>
      <c r="I28" s="6" t="s">
        <v>16</v>
      </c>
      <c r="J28" s="6" t="s">
        <v>17</v>
      </c>
      <c r="K28" s="6" t="s">
        <v>41</v>
      </c>
    </row>
    <row r="29" spans="1:11" x14ac:dyDescent="0.45">
      <c r="A29" s="6">
        <v>1</v>
      </c>
      <c r="B29" s="6" t="s">
        <v>11</v>
      </c>
      <c r="C29" s="6">
        <v>28</v>
      </c>
      <c r="D29" s="6" t="s">
        <v>97</v>
      </c>
      <c r="E29" s="6" t="s">
        <v>98</v>
      </c>
      <c r="F29" s="6" t="s">
        <v>44</v>
      </c>
      <c r="G29" s="6" t="s">
        <v>69</v>
      </c>
      <c r="H29" s="6" t="s">
        <v>28</v>
      </c>
      <c r="I29" s="6" t="s">
        <v>29</v>
      </c>
      <c r="J29" s="6"/>
      <c r="K29" s="6" t="s">
        <v>16</v>
      </c>
    </row>
    <row r="30" spans="1:11" x14ac:dyDescent="0.45">
      <c r="A30" s="6">
        <v>1</v>
      </c>
      <c r="B30" s="6" t="s">
        <v>11</v>
      </c>
      <c r="C30" s="6">
        <v>29</v>
      </c>
      <c r="D30" s="6" t="s">
        <v>99</v>
      </c>
      <c r="E30" s="6" t="s">
        <v>100</v>
      </c>
      <c r="F30" s="6" t="s">
        <v>20</v>
      </c>
      <c r="G30" s="6" t="s">
        <v>56</v>
      </c>
      <c r="H30" s="6" t="s">
        <v>37</v>
      </c>
      <c r="I30" s="6" t="s">
        <v>16</v>
      </c>
      <c r="J30" s="6" t="s">
        <v>17</v>
      </c>
      <c r="K30" s="6" t="s">
        <v>16</v>
      </c>
    </row>
    <row r="31" spans="1:11" x14ac:dyDescent="0.45">
      <c r="A31" s="6">
        <v>1</v>
      </c>
      <c r="B31" s="6" t="s">
        <v>11</v>
      </c>
      <c r="C31" s="6">
        <v>30</v>
      </c>
      <c r="D31" s="6" t="s">
        <v>101</v>
      </c>
      <c r="E31" s="6" t="s">
        <v>102</v>
      </c>
      <c r="F31" s="6" t="s">
        <v>44</v>
      </c>
      <c r="G31" s="6" t="s">
        <v>103</v>
      </c>
      <c r="H31" s="6"/>
      <c r="I31" s="6" t="s">
        <v>16</v>
      </c>
      <c r="J31" s="7" t="s">
        <v>104</v>
      </c>
      <c r="K31" s="6" t="s">
        <v>29</v>
      </c>
    </row>
    <row r="32" spans="1:11" x14ac:dyDescent="0.45">
      <c r="A32" s="6">
        <v>1</v>
      </c>
      <c r="B32" s="6" t="s">
        <v>11</v>
      </c>
      <c r="C32" s="6">
        <v>31</v>
      </c>
      <c r="D32" s="6" t="s">
        <v>105</v>
      </c>
      <c r="E32" s="6" t="s">
        <v>106</v>
      </c>
      <c r="F32" s="6" t="s">
        <v>52</v>
      </c>
      <c r="G32" s="6" t="s">
        <v>66</v>
      </c>
      <c r="H32" s="6" t="s">
        <v>28</v>
      </c>
      <c r="I32" s="6" t="s">
        <v>16</v>
      </c>
      <c r="J32" s="6" t="s">
        <v>17</v>
      </c>
      <c r="K32" s="6" t="s">
        <v>16</v>
      </c>
    </row>
    <row r="33" spans="1:11" x14ac:dyDescent="0.45">
      <c r="A33" s="6">
        <v>1</v>
      </c>
      <c r="B33" s="6" t="s">
        <v>11</v>
      </c>
      <c r="C33" s="6">
        <v>32</v>
      </c>
      <c r="D33" s="6" t="s">
        <v>107</v>
      </c>
      <c r="E33" s="6" t="s">
        <v>108</v>
      </c>
      <c r="F33" s="6" t="s">
        <v>44</v>
      </c>
      <c r="G33" s="6" t="s">
        <v>21</v>
      </c>
      <c r="H33" s="6" t="s">
        <v>37</v>
      </c>
      <c r="I33" s="6" t="s">
        <v>29</v>
      </c>
      <c r="J33" s="6"/>
      <c r="K33" s="6" t="s">
        <v>41</v>
      </c>
    </row>
    <row r="34" spans="1:11" x14ac:dyDescent="0.45">
      <c r="A34" s="6">
        <v>1</v>
      </c>
      <c r="B34" s="6" t="s">
        <v>11</v>
      </c>
      <c r="C34" s="6">
        <v>33</v>
      </c>
      <c r="D34" s="6" t="s">
        <v>109</v>
      </c>
      <c r="E34" s="6" t="s">
        <v>110</v>
      </c>
      <c r="F34" s="6" t="s">
        <v>44</v>
      </c>
      <c r="G34" s="6" t="s">
        <v>15</v>
      </c>
      <c r="H34" s="6" t="s">
        <v>28</v>
      </c>
      <c r="I34" s="6" t="s">
        <v>29</v>
      </c>
      <c r="J34" s="6"/>
      <c r="K34" s="6" t="s">
        <v>16</v>
      </c>
    </row>
    <row r="35" spans="1:11" x14ac:dyDescent="0.45">
      <c r="A35" s="6">
        <v>1</v>
      </c>
      <c r="B35" s="6" t="s">
        <v>11</v>
      </c>
      <c r="C35" s="6">
        <v>34</v>
      </c>
      <c r="D35" s="6" t="s">
        <v>111</v>
      </c>
      <c r="E35" s="6" t="s">
        <v>112</v>
      </c>
      <c r="F35" s="6" t="s">
        <v>44</v>
      </c>
      <c r="G35" s="6" t="s">
        <v>69</v>
      </c>
      <c r="H35" s="6"/>
      <c r="I35" s="6" t="s">
        <v>16</v>
      </c>
      <c r="J35" s="6" t="s">
        <v>17</v>
      </c>
      <c r="K35" s="6" t="s">
        <v>29</v>
      </c>
    </row>
    <row r="36" spans="1:11" x14ac:dyDescent="0.45">
      <c r="G36" s="8" t="s">
        <v>113</v>
      </c>
      <c r="H36" s="6">
        <f>COUNTIF(H$2:H$35,$G36)</f>
        <v>0</v>
      </c>
      <c r="I36" s="9">
        <f>COUNTIF(I$2:I$35,$G36)</f>
        <v>1</v>
      </c>
      <c r="K36" s="9">
        <f>COUNTIF(K$2:K$35,$G36)</f>
        <v>0</v>
      </c>
    </row>
    <row r="37" spans="1:11" x14ac:dyDescent="0.45">
      <c r="G37" s="8" t="s">
        <v>85</v>
      </c>
      <c r="H37" s="6">
        <f>COUNTIF(H$2:H$35,$G37)</f>
        <v>1</v>
      </c>
      <c r="I37" s="9">
        <f>COUNTIF(I$2:I$35,$G37)</f>
        <v>7</v>
      </c>
      <c r="K37" s="9">
        <f>COUNTIF(K$2:K$35,$G37)</f>
        <v>13</v>
      </c>
    </row>
    <row r="38" spans="1:11" x14ac:dyDescent="0.45">
      <c r="E38" s="5" t="s">
        <v>114</v>
      </c>
      <c r="G38" s="8" t="s">
        <v>28</v>
      </c>
      <c r="H38" s="6">
        <f t="shared" ref="H38:K41" si="0">COUNTIF(H$2:H$35,$G38)</f>
        <v>7</v>
      </c>
      <c r="I38" s="6">
        <f t="shared" si="0"/>
        <v>1</v>
      </c>
      <c r="K38" s="6">
        <f t="shared" si="0"/>
        <v>6</v>
      </c>
    </row>
    <row r="39" spans="1:11" x14ac:dyDescent="0.45">
      <c r="E39" s="5" t="s">
        <v>115</v>
      </c>
      <c r="G39" s="8" t="s">
        <v>45</v>
      </c>
      <c r="H39" s="6">
        <f t="shared" si="0"/>
        <v>7</v>
      </c>
      <c r="I39" s="6">
        <f t="shared" si="0"/>
        <v>0</v>
      </c>
      <c r="K39" s="6">
        <f t="shared" si="0"/>
        <v>0</v>
      </c>
    </row>
    <row r="40" spans="1:11" x14ac:dyDescent="0.45">
      <c r="E40" s="5" t="s">
        <v>116</v>
      </c>
      <c r="G40" s="8" t="s">
        <v>22</v>
      </c>
      <c r="H40" s="6">
        <f t="shared" si="0"/>
        <v>5</v>
      </c>
      <c r="I40" s="6">
        <f t="shared" si="0"/>
        <v>0</v>
      </c>
      <c r="K40" s="6">
        <f t="shared" si="0"/>
        <v>0</v>
      </c>
    </row>
    <row r="41" spans="1:11" x14ac:dyDescent="0.45">
      <c r="G41" s="8" t="s">
        <v>37</v>
      </c>
      <c r="H41" s="6">
        <f t="shared" si="0"/>
        <v>8</v>
      </c>
      <c r="I41" s="6">
        <f t="shared" si="0"/>
        <v>14</v>
      </c>
      <c r="K41" s="6">
        <f t="shared" si="0"/>
        <v>4</v>
      </c>
    </row>
    <row r="42" spans="1:11" x14ac:dyDescent="0.45">
      <c r="G42" s="8" t="s">
        <v>117</v>
      </c>
      <c r="H42" s="6">
        <f>34-SUM(H36:H41)</f>
        <v>6</v>
      </c>
      <c r="I42" s="6">
        <f>34-SUM(I36:I41)</f>
        <v>11</v>
      </c>
      <c r="K42" s="6">
        <f>34-SUM(K36:K41)</f>
        <v>11</v>
      </c>
    </row>
  </sheetData>
  <autoFilter ref="A1:G42" xr:uid="{1543D3F4-886B-4431-B593-55BC0FA0238A}"/>
  <phoneticPr fontId="3"/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JLPT</vt:lpstr>
    </vt:vector>
  </TitlesOfParts>
  <Manager/>
  <Company>SCMCC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深野 敦史</dc:creator>
  <cp:keywords/>
  <dc:description/>
  <cp:lastModifiedBy>越智 統</cp:lastModifiedBy>
  <cp:revision/>
  <dcterms:created xsi:type="dcterms:W3CDTF">2026-09-01T09:08:19Z</dcterms:created>
  <dcterms:modified xsi:type="dcterms:W3CDTF">2026-09-02T00:10:07Z</dcterms:modified>
  <cp:category/>
  <cp:contentStatus/>
</cp:coreProperties>
</file>